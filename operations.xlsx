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<sst xmlns="http://schemas.openxmlformats.org/spreadsheetml/2006/main" count="27" uniqueCount="27">
  <si>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运营实绩表</t>
  </si>
  <si>
    <t>#</t>
  </si>
  <si>
    <t>周期</t>
  </si>
  <si>
    <t>焦化侧</t>
  </si>
  <si>
    <t>炼镁侧</t>
  </si>
  <si>
    <t>备注</t>
  </si>
  <si>
    <t>焦化日处理量（干基）</t>
  </si>
  <si>
    <t>焦炭产量（周累计）</t>
  </si>
  <si>
    <t>焦炉煤气发生量（周累计）</t>
  </si>
  <si>
    <t>煤气自用（焦炉/锅炉）</t>
  </si>
  <si>
    <t>煤气自用（化产）</t>
  </si>
  <si>
    <t>煤气自用（镁冶炼）</t>
  </si>
  <si>
    <t>煤气放散</t>
  </si>
  <si>
    <t>焦化开工率</t>
  </si>
  <si>
    <t>镁9990合格品产量</t>
  </si>
  <si>
    <t>粗镁产量</t>
  </si>
  <si>
    <t>煅白产量</t>
  </si>
  <si>
    <t>白云石消耗量</t>
  </si>
  <si>
    <t>硅铁消耗量</t>
  </si>
  <si>
    <t>萤石/熔剂消耗</t>
  </si>
  <si>
    <t>电耗</t>
  </si>
  <si>
    <t>吨镁煤气单耗（标方）</t>
  </si>
  <si>
    <t>料镁比</t>
  </si>
  <si>
    <t>精炼回收率</t>
  </si>
  <si>
    <t>镁锭库存（期末）</t>
  </si>
  <si>
    <t>发货量（当周）</t>
  </si>
  <si>
    <t>5朋30日至6月5日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</si>
</sst>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0" fontId="1" fillId="0" borderId="1" xfId="0" applyNumberFormat="1" applyFont="1" applyBorder="1">
      <alignment vertical="center"/>
    </xf>
    <xf numFmtId="176" fontId="1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7" Type="http://schemas.openxmlformats.org/officeDocument/2006/relationships/externalLink" Target="externalLinks/externalLink4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%20(x86)\xwechat_files\zhuzikaoyan_c2f0\msg\file\2026-06\2026&#24180;6&#26376;5&#26085;&#33021;&#28304;&#28040;&#32791;&#26085;&#25253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116;&#40857;\&#33021;&#28304;\&#32467;&#31639;\2026&#24180;5&#26376;31&#26085;&#33021;&#28304;&#28040;&#32791;&#26085;&#25253;&#3492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%20(x86)\xwechat_files\zhuzikaoyan_c2f0\msg\file\2026-06\2026.6&#26376;&#38209;&#21512;&#37329;&#21378;&#29983;&#20135;&#26085;&#25253;(4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%20(x86)\xwechat_files\zhuzikaoyan_c2f0\msg\file\2026-06\2026.5&#26376;&#38209;&#21512;&#37329;&#21378;&#29983;&#20135;&#26085;&#2525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gram%20Files%20(x86)\xwechat_files\zhuzikaoyan_c2f0\msg\file\2026-06\6&#26376;5&#26085;&#21407;&#26009;&#21450;&#25104;&#21697;&#24211;&#23384;&#34920;%2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电"/>
      <sheetName val="煤气"/>
      <sheetName val="空气"/>
      <sheetName val="蒸汽"/>
      <sheetName val="水"/>
      <sheetName val="Sheet3"/>
      <sheetName val="月结"/>
      <sheetName val="Sheet1"/>
      <sheetName val="Sheet2"/>
    </sheetNames>
    <sheetDataSet>
      <sheetData sheetId="0"/>
      <sheetData sheetId="1">
        <row r="36">
          <cell r="D36">
            <v>1260263</v>
          </cell>
          <cell r="E36">
            <v>1437228</v>
          </cell>
          <cell r="F36">
            <v>122663</v>
          </cell>
          <cell r="G36">
            <v>134861</v>
          </cell>
          <cell r="H36">
            <v>156419</v>
          </cell>
        </row>
        <row r="36">
          <cell r="M36">
            <v>2275518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电"/>
      <sheetName val="煤气"/>
      <sheetName val="空气"/>
      <sheetName val="蒸汽"/>
      <sheetName val="水"/>
      <sheetName val="Sheet3"/>
      <sheetName val="月结"/>
      <sheetName val="Sheet1"/>
      <sheetName val="Sheet2"/>
    </sheetNames>
    <sheetDataSet>
      <sheetData sheetId="0"/>
      <sheetData sheetId="1">
        <row r="34">
          <cell r="F34">
            <v>23105</v>
          </cell>
          <cell r="G34">
            <v>2003</v>
          </cell>
        </row>
        <row r="34">
          <cell r="M34">
            <v>409479</v>
          </cell>
        </row>
        <row r="35">
          <cell r="F35">
            <v>23033</v>
          </cell>
          <cell r="G35">
            <v>21166</v>
          </cell>
        </row>
        <row r="35">
          <cell r="M35">
            <v>460559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5"/>
      <sheetName val="主要指标统计"/>
      <sheetName val="4"/>
      <sheetName val="3"/>
      <sheetName val="2"/>
      <sheetName val="1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</sheetNames>
    <sheetDataSet>
      <sheetData sheetId="0">
        <row r="15">
          <cell r="P15">
            <v>2559.442</v>
          </cell>
        </row>
        <row r="15">
          <cell r="V15">
            <v>352.641</v>
          </cell>
        </row>
        <row r="16">
          <cell r="V16">
            <v>36.16</v>
          </cell>
        </row>
        <row r="17">
          <cell r="J17">
            <v>394.748</v>
          </cell>
        </row>
        <row r="17">
          <cell r="V17">
            <v>6.72</v>
          </cell>
        </row>
        <row r="18">
          <cell r="D18">
            <v>3594</v>
          </cell>
        </row>
        <row r="18">
          <cell r="J18">
            <v>19.504</v>
          </cell>
        </row>
        <row r="18">
          <cell r="P18">
            <v>16</v>
          </cell>
        </row>
        <row r="18">
          <cell r="V18">
            <v>10.425</v>
          </cell>
        </row>
        <row r="19">
          <cell r="J19">
            <v>31.865</v>
          </cell>
        </row>
        <row r="30">
          <cell r="D30">
            <v>2161.92513368984</v>
          </cell>
        </row>
        <row r="30">
          <cell r="P30">
            <v>376.415</v>
          </cell>
        </row>
        <row r="52">
          <cell r="J52">
            <v>469870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31"/>
      <sheetName val="主要指标统计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5">
          <cell r="P5">
            <v>481.432</v>
          </cell>
        </row>
        <row r="5">
          <cell r="V5">
            <v>77.243</v>
          </cell>
        </row>
        <row r="6">
          <cell r="V6">
            <v>8.265</v>
          </cell>
        </row>
        <row r="7">
          <cell r="J7">
            <v>75.332</v>
          </cell>
        </row>
        <row r="7">
          <cell r="V7">
            <v>1.41</v>
          </cell>
        </row>
        <row r="8">
          <cell r="D8">
            <v>734</v>
          </cell>
        </row>
        <row r="8">
          <cell r="J8">
            <v>3.934</v>
          </cell>
        </row>
        <row r="8">
          <cell r="P8">
            <v>6.25</v>
          </cell>
        </row>
        <row r="8">
          <cell r="V8">
            <v>2</v>
          </cell>
        </row>
        <row r="9">
          <cell r="J9">
            <v>6.097</v>
          </cell>
        </row>
        <row r="28">
          <cell r="D28">
            <v>422.513368983957</v>
          </cell>
        </row>
        <row r="29">
          <cell r="P29">
            <v>69.087</v>
          </cell>
        </row>
        <row r="51">
          <cell r="J51">
            <v>94830</v>
          </cell>
        </row>
      </sheetData>
      <sheetData sheetId="1"/>
      <sheetData sheetId="2">
        <row r="5">
          <cell r="P5">
            <v>415.94</v>
          </cell>
        </row>
        <row r="5">
          <cell r="V5">
            <v>53.179</v>
          </cell>
        </row>
        <row r="6">
          <cell r="V6">
            <v>6.07</v>
          </cell>
        </row>
        <row r="7">
          <cell r="J7">
            <v>57.374</v>
          </cell>
        </row>
        <row r="7">
          <cell r="V7">
            <v>1.1</v>
          </cell>
        </row>
        <row r="8">
          <cell r="D8">
            <v>646</v>
          </cell>
        </row>
        <row r="8">
          <cell r="J8">
            <v>2.996</v>
          </cell>
        </row>
        <row r="8">
          <cell r="P8">
            <v>2.5</v>
          </cell>
        </row>
        <row r="8">
          <cell r="V8">
            <v>1.55</v>
          </cell>
        </row>
        <row r="9">
          <cell r="J9">
            <v>4.644</v>
          </cell>
        </row>
        <row r="28">
          <cell r="D28">
            <v>315.454545454545</v>
          </cell>
        </row>
        <row r="29">
          <cell r="P29">
            <v>61.335</v>
          </cell>
        </row>
        <row r="51">
          <cell r="J51">
            <v>87860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6.5"/>
      <sheetName val="6.4"/>
      <sheetName val="6.3"/>
      <sheetName val="6.2"/>
      <sheetName val="6.1"/>
      <sheetName val="6.6"/>
    </sheetNames>
    <sheetDataSet>
      <sheetData sheetId="0">
        <row r="27">
          <cell r="K27">
            <v>442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tabSelected="1" workbookViewId="0">
      <selection activeCell="V3" sqref="V$1:V$1048576"/>
    </sheetView>
  </sheetViews>
  <sheetFormatPr defaultColWidth="9" defaultRowHeight="14.4"/>
  <cols>
    <col min="2" max="2" width="17.5555555555556" customWidth="1"/>
    <col min="3" max="3" width="24.4444444444444" customWidth="1"/>
    <col min="4" max="4" width="22" customWidth="1"/>
    <col min="5" max="5" width="29.1111111111111" customWidth="1"/>
    <col min="6" max="6" width="25.6666666666667" customWidth="1"/>
    <col min="7" max="7" width="19.6666666666667" customWidth="1"/>
    <col min="8" max="8" width="19.3796296296296" customWidth="1"/>
    <col min="9" max="9" width="11" customWidth="1"/>
    <col min="10" max="10" width="11.8796296296296" style="2" customWidth="1"/>
    <col min="11" max="11" width="16.5" customWidth="1"/>
    <col min="13" max="13" width="11.25" style="3" customWidth="1"/>
    <col min="14" max="14" width="13.3796296296296" customWidth="1"/>
    <col min="15" max="15" width="11.3796296296296" customWidth="1"/>
    <col min="16" max="16" width="13.6296296296296" customWidth="1"/>
    <col min="18" max="18" width="18.5" customWidth="1"/>
    <col min="19" max="19" width="12.8888888888889" style="3"/>
    <col min="20" max="20" width="10.6296296296296" style="2" customWidth="1"/>
    <col min="21" max="21" width="14.5555555555556" customWidth="1"/>
    <col min="22" max="22" width="12.8888888888889" customWidth="1"/>
  </cols>
  <sheetData>
    <row r="1" ht="20.4" spans="1:23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5"/>
      <c r="L1" s="5"/>
      <c r="M1" s="7"/>
      <c r="N1" s="5"/>
      <c r="O1" s="5"/>
      <c r="P1" s="5"/>
      <c r="Q1" s="5"/>
      <c r="R1" s="5"/>
      <c r="S1" s="7"/>
      <c r="T1" s="6"/>
      <c r="U1" s="5"/>
      <c r="V1" s="5"/>
      <c r="W1" s="5"/>
    </row>
    <row r="2" s="1" customFormat="1" spans="1:23">
      <c r="A2" s="8" t="s">
        <v>1</v>
      </c>
      <c r="B2" s="8" t="s">
        <v>2</v>
      </c>
      <c r="C2" s="8" t="s">
        <v>3</v>
      </c>
      <c r="D2" s="8"/>
      <c r="E2" s="8"/>
      <c r="F2" s="8"/>
      <c r="G2" s="8"/>
      <c r="H2" s="8"/>
      <c r="I2" s="8"/>
      <c r="J2" s="9"/>
      <c r="K2" s="8" t="s">
        <v>4</v>
      </c>
      <c r="L2" s="8"/>
      <c r="M2" s="10"/>
      <c r="N2" s="8"/>
      <c r="O2" s="8"/>
      <c r="P2" s="8"/>
      <c r="Q2" s="8"/>
      <c r="R2" s="8"/>
      <c r="S2" s="10"/>
      <c r="T2" s="9"/>
      <c r="U2" s="8"/>
      <c r="V2" s="8"/>
      <c r="W2" s="8" t="s">
        <v>5</v>
      </c>
    </row>
    <row r="3" s="1" customFormat="1" spans="1:23">
      <c r="A3" s="11"/>
      <c r="B3" s="11"/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2" t="s">
        <v>13</v>
      </c>
      <c r="K3" s="11" t="s">
        <v>14</v>
      </c>
      <c r="L3" s="11" t="s">
        <v>15</v>
      </c>
      <c r="M3" s="13" t="s">
        <v>16</v>
      </c>
      <c r="N3" s="11" t="s">
        <v>17</v>
      </c>
      <c r="O3" s="11" t="s">
        <v>18</v>
      </c>
      <c r="P3" s="11" t="s">
        <v>19</v>
      </c>
      <c r="Q3" s="11" t="s">
        <v>20</v>
      </c>
      <c r="R3" s="11" t="s">
        <v>21</v>
      </c>
      <c r="S3" s="13" t="s">
        <v>22</v>
      </c>
      <c r="T3" s="12" t="s">
        <v>23</v>
      </c>
      <c r="U3" s="11" t="s">
        <v>24</v>
      </c>
      <c r="V3" s="11" t="s">
        <v>25</v>
      </c>
      <c r="W3" s="8"/>
    </row>
    <row r="4" spans="1:23">
      <c r="A4" s="14"/>
      <c r="B4" s="14" t="s">
        <v>26</v>
      </c>
      <c r="C4" s="14">
        <f>3258+3002+3578+3646+3722+2894+3172</f>
        <v>23272</v>
      </c>
      <c r="D4" s="14">
        <f>158*26+10742</f>
        <v>14850</v>
      </c>
      <c r="E4" s="14">
        <v>7153392</v>
      </c>
      <c r="F4" s="14">
        <f>987509+[1]煤气!$D$36+[1]煤气!$E$36+[1]煤气!$H$36</f>
        <v>3841419</v>
      </c>
      <c r="G4" s="14">
        <f>[1]煤气!$F$36+[2]煤气!$F$35+[2]煤气!$F$34</f>
        <v>168801</v>
      </c>
      <c r="H4" s="14">
        <f>[2]煤气!$M$35+[2]煤气!$M$34+[1]煤气!$M$36</f>
        <v>3145556</v>
      </c>
      <c r="I4" s="14">
        <f>[2]煤气!$G$35+[2]煤气!$G$34+[1]煤气!$G$36</f>
        <v>158030</v>
      </c>
      <c r="J4" s="15">
        <f>(75+83+410)/110/7</f>
        <v>0.737662337662338</v>
      </c>
      <c r="K4" s="14">
        <f>321.742+48.12+69.952</f>
        <v>439.814</v>
      </c>
      <c r="L4" s="14">
        <f>'[3]5'!$P$30+'[4]31'!$P$29+'[4]30'!$P$29</f>
        <v>506.837</v>
      </c>
      <c r="M4" s="16">
        <f>'[3]5'!$D$30+'[4]30'!$D$28+'[4]31'!$D$28</f>
        <v>2899.89304812834</v>
      </c>
      <c r="N4" s="14">
        <f>'[4]31'!$D$8+'[4]30'!$D$8+'[3]5'!$D$18</f>
        <v>4974</v>
      </c>
      <c r="O4" s="14">
        <f>'[3]5'!$J$17+'[3]5'!$J$18+'[4]30'!$J$7+'[4]30'!$J$8+'[4]31'!$J$8+'[4]31'!$J$7</f>
        <v>553.888</v>
      </c>
      <c r="P4" s="14">
        <f>'[3]5'!$J$19+'[3]5'!$P$18+'[3]5'!$V$18+'[3]5'!$V$17+'[4]31'!$J$9+'[4]31'!$P$8+'[4]31'!$V$8+'[4]31'!$V$7+'[4]30'!$J$9+'[4]30'!$P$8+'[4]30'!$V$8+'[4]30'!$V$7+'[4]30'!$V$6+'[3]5'!$V$16+'[4]31'!$V$6</f>
        <v>141.056</v>
      </c>
      <c r="Q4" s="14">
        <f>'[3]5'!$J$52+'[4]31'!$J$51+'[4]30'!$J$51</f>
        <v>652560</v>
      </c>
      <c r="R4" s="14">
        <f>(H4+I4/2)/K4</f>
        <v>7331.66975130396</v>
      </c>
      <c r="S4" s="16">
        <f>('[3]5'!$P$15+'[4]31'!$P$5+'[4]30'!$P$5)/L4</f>
        <v>6.82036631106253</v>
      </c>
      <c r="T4" s="15">
        <f>K4/('[4]30'!$V$5+'[4]31'!$V$5+'[3]5'!$V$15)</f>
        <v>0.910469234861706</v>
      </c>
      <c r="U4" s="14">
        <v>214.985</v>
      </c>
      <c r="V4" s="14">
        <f>'[5]6.5'!$K$27+68</f>
        <v>510</v>
      </c>
      <c r="W4" s="14"/>
    </row>
    <row r="5" spans="1:23">
      <c r="A5" s="14"/>
      <c r="B5" s="14"/>
      <c r="C5" s="14"/>
      <c r="D5" s="14"/>
      <c r="E5" s="14"/>
      <c r="F5" s="14"/>
      <c r="G5" s="14"/>
      <c r="H5" s="14"/>
      <c r="I5" s="14"/>
      <c r="J5" s="15"/>
      <c r="K5" s="14"/>
      <c r="L5" s="14"/>
      <c r="M5" s="16"/>
      <c r="N5" s="14"/>
      <c r="O5" s="14"/>
      <c r="P5" s="14"/>
      <c r="Q5" s="14"/>
      <c r="R5" s="14"/>
      <c r="S5" s="16"/>
      <c r="T5" s="15"/>
      <c r="U5" s="14"/>
      <c r="V5" s="14"/>
      <c r="W5" s="14"/>
    </row>
    <row r="6" spans="1:23">
      <c r="A6" s="14"/>
      <c r="B6" s="14"/>
      <c r="C6" s="14"/>
      <c r="D6" s="14"/>
      <c r="E6" s="14"/>
      <c r="F6" s="14"/>
      <c r="G6" s="14"/>
      <c r="H6" s="14"/>
      <c r="I6" s="14"/>
      <c r="J6" s="15"/>
      <c r="K6" s="14"/>
      <c r="L6" s="14"/>
      <c r="M6" s="16"/>
      <c r="N6" s="14"/>
      <c r="O6" s="14"/>
      <c r="P6" s="14"/>
      <c r="Q6" s="14"/>
      <c r="R6" s="14"/>
      <c r="S6" s="16"/>
      <c r="T6" s="15"/>
      <c r="U6" s="14"/>
      <c r="V6" s="14"/>
      <c r="W6" s="14"/>
    </row>
    <row r="7" spans="1:23">
      <c r="A7" s="14"/>
      <c r="B7" s="14"/>
      <c r="C7" s="14"/>
      <c r="D7" s="14"/>
      <c r="E7" s="14"/>
      <c r="F7" s="14"/>
      <c r="G7" s="14"/>
      <c r="H7" s="14"/>
      <c r="I7" s="14"/>
      <c r="J7" s="15"/>
      <c r="K7" s="14"/>
      <c r="L7" s="14"/>
      <c r="M7" s="16"/>
      <c r="N7" s="14"/>
      <c r="O7" s="14"/>
      <c r="P7" s="14"/>
      <c r="Q7" s="14"/>
      <c r="R7" s="14"/>
      <c r="S7" s="16"/>
      <c r="T7" s="15"/>
      <c r="U7" s="14"/>
      <c r="V7" s="14"/>
      <c r="W7" s="14"/>
    </row>
    <row r="8" spans="1:23">
      <c r="A8" s="14"/>
      <c r="B8" s="14"/>
      <c r="C8" s="14"/>
      <c r="D8" s="14"/>
      <c r="E8" s="14"/>
      <c r="F8" s="14"/>
      <c r="G8" s="14"/>
      <c r="H8" s="14"/>
      <c r="I8" s="14"/>
      <c r="J8" s="15"/>
      <c r="K8" s="14"/>
      <c r="L8" s="14"/>
      <c r="M8" s="16"/>
      <c r="N8" s="14"/>
      <c r="O8" s="14"/>
      <c r="P8" s="14"/>
      <c r="Q8" s="14"/>
      <c r="R8" s="14"/>
      <c r="S8" s="16"/>
      <c r="T8" s="15"/>
      <c r="U8" s="14"/>
      <c r="V8" s="14"/>
      <c r="W8" s="14"/>
    </row>
    <row r="9" spans="1:23">
      <c r="A9" s="14"/>
      <c r="B9" s="14"/>
      <c r="C9" s="14"/>
      <c r="D9" s="14"/>
      <c r="E9" s="14"/>
      <c r="F9" s="14"/>
      <c r="G9" s="14"/>
      <c r="H9" s="14"/>
      <c r="I9" s="14"/>
      <c r="J9" s="15"/>
      <c r="K9" s="14"/>
      <c r="L9" s="14"/>
      <c r="M9" s="16"/>
      <c r="N9" s="14"/>
      <c r="O9" s="14"/>
      <c r="P9" s="14"/>
      <c r="Q9" s="14"/>
      <c r="R9" s="14"/>
      <c r="S9" s="16"/>
      <c r="T9" s="15"/>
      <c r="U9" s="14"/>
      <c r="V9" s="14"/>
      <c r="W9" s="14"/>
    </row>
    <row r="10" spans="1:23">
      <c r="A10" s="14"/>
      <c r="B10" s="14"/>
      <c r="C10" s="14"/>
      <c r="D10" s="14"/>
      <c r="E10" s="14"/>
      <c r="F10" s="14"/>
      <c r="G10" s="14"/>
      <c r="H10" s="14"/>
      <c r="I10" s="14"/>
      <c r="J10" s="15"/>
      <c r="K10" s="14"/>
      <c r="L10" s="14"/>
      <c r="M10" s="16"/>
      <c r="N10" s="14"/>
      <c r="O10" s="14"/>
      <c r="P10" s="14"/>
      <c r="Q10" s="14"/>
      <c r="R10" s="14"/>
      <c r="S10" s="16"/>
      <c r="T10" s="15"/>
      <c r="U10" s="14"/>
      <c r="V10" s="14"/>
      <c r="W10" s="14"/>
    </row>
    <row r="11" spans="1:23">
      <c r="A11" s="14"/>
      <c r="B11" s="14"/>
      <c r="C11" s="14"/>
      <c r="D11" s="14"/>
      <c r="E11" s="14"/>
      <c r="F11" s="14"/>
      <c r="G11" s="14"/>
      <c r="H11" s="14"/>
      <c r="I11" s="14"/>
      <c r="J11" s="15"/>
      <c r="K11" s="14"/>
      <c r="L11" s="14"/>
      <c r="M11" s="16"/>
      <c r="N11" s="14"/>
      <c r="O11" s="14"/>
      <c r="P11" s="14"/>
      <c r="Q11" s="14"/>
      <c r="R11" s="14"/>
      <c r="S11" s="16"/>
      <c r="T11" s="15"/>
      <c r="U11" s="14"/>
      <c r="V11" s="14"/>
      <c r="W11" s="14"/>
    </row>
    <row r="12" spans="1:23">
      <c r="A12" s="14"/>
      <c r="B12" s="14"/>
      <c r="C12" s="14"/>
      <c r="D12" s="14"/>
      <c r="E12" s="14"/>
      <c r="F12" s="14"/>
      <c r="G12" s="14"/>
      <c r="H12" s="14"/>
      <c r="I12" s="14"/>
      <c r="J12" s="15"/>
      <c r="K12" s="14"/>
      <c r="L12" s="14"/>
      <c r="M12" s="16"/>
      <c r="N12" s="14"/>
      <c r="O12" s="14"/>
      <c r="P12" s="14"/>
      <c r="Q12" s="14"/>
      <c r="R12" s="14"/>
      <c r="S12" s="16"/>
      <c r="T12" s="15"/>
      <c r="U12" s="14"/>
      <c r="V12" s="14"/>
      <c r="W12" s="14"/>
    </row>
    <row r="13" spans="1:23">
      <c r="A13" s="14"/>
      <c r="B13" s="14"/>
      <c r="C13" s="14"/>
      <c r="D13" s="14"/>
      <c r="E13" s="14"/>
      <c r="F13" s="14"/>
      <c r="G13" s="14"/>
      <c r="H13" s="14"/>
      <c r="I13" s="14"/>
      <c r="J13" s="15"/>
      <c r="K13" s="14"/>
      <c r="L13" s="14"/>
      <c r="M13" s="16"/>
      <c r="N13" s="14"/>
      <c r="O13" s="14"/>
      <c r="P13" s="14"/>
      <c r="Q13" s="14"/>
      <c r="R13" s="14"/>
      <c r="S13" s="16"/>
      <c r="T13" s="15"/>
      <c r="U13" s="14"/>
      <c r="V13" s="14"/>
      <c r="W13" s="14"/>
    </row>
    <row r="14" spans="1:23">
      <c r="A14" s="14"/>
      <c r="B14" s="14"/>
      <c r="C14" s="14"/>
      <c r="D14" s="14"/>
      <c r="E14" s="14"/>
      <c r="F14" s="14"/>
      <c r="G14" s="14"/>
      <c r="H14" s="14"/>
      <c r="I14" s="14"/>
      <c r="J14" s="15"/>
      <c r="K14" s="14"/>
      <c r="L14" s="14"/>
      <c r="M14" s="16"/>
      <c r="N14" s="14"/>
      <c r="O14" s="14"/>
      <c r="P14" s="14"/>
      <c r="Q14" s="14"/>
      <c r="R14" s="14"/>
      <c r="S14" s="16"/>
      <c r="T14" s="15"/>
      <c r="U14" s="14"/>
      <c r="V14" s="14"/>
      <c r="W14" s="14"/>
    </row>
    <row r="15" spans="1:23">
      <c r="A15" s="14"/>
      <c r="B15" s="14"/>
      <c r="C15" s="14"/>
      <c r="D15" s="14"/>
      <c r="E15" s="14"/>
      <c r="F15" s="14"/>
      <c r="G15" s="14"/>
      <c r="H15" s="14"/>
      <c r="I15" s="14"/>
      <c r="J15" s="15"/>
      <c r="K15" s="14"/>
      <c r="L15" s="14"/>
      <c r="M15" s="16"/>
      <c r="N15" s="14"/>
      <c r="O15" s="14"/>
      <c r="P15" s="14"/>
      <c r="Q15" s="14"/>
      <c r="R15" s="14"/>
      <c r="S15" s="16"/>
      <c r="T15" s="15"/>
      <c r="U15" s="14"/>
      <c r="V15" s="14"/>
      <c r="W15" s="14"/>
    </row>
    <row r="16" spans="1:23">
      <c r="A16" s="14"/>
      <c r="B16" s="14"/>
      <c r="C16" s="14"/>
      <c r="D16" s="14"/>
      <c r="E16" s="14"/>
      <c r="F16" s="14"/>
      <c r="G16" s="14"/>
      <c r="H16" s="14"/>
      <c r="I16" s="14"/>
      <c r="J16" s="15"/>
      <c r="K16" s="14"/>
      <c r="L16" s="14"/>
      <c r="M16" s="16"/>
      <c r="N16" s="14"/>
      <c r="O16" s="14"/>
      <c r="P16" s="14"/>
      <c r="Q16" s="14"/>
      <c r="R16" s="14"/>
      <c r="S16" s="16"/>
      <c r="T16" s="15"/>
      <c r="U16" s="14"/>
      <c r="V16" s="14"/>
      <c r="W16" s="14"/>
    </row>
    <row r="17" spans="1:23">
      <c r="A17" s="14"/>
      <c r="B17" s="14"/>
      <c r="C17" s="14"/>
      <c r="D17" s="14"/>
      <c r="E17" s="14"/>
      <c r="F17" s="14"/>
      <c r="G17" s="14"/>
      <c r="H17" s="14"/>
      <c r="I17" s="14"/>
      <c r="J17" s="15"/>
      <c r="K17" s="14"/>
      <c r="L17" s="14"/>
      <c r="M17" s="16"/>
      <c r="N17" s="14"/>
      <c r="O17" s="14"/>
      <c r="P17" s="14"/>
      <c r="Q17" s="14"/>
      <c r="R17" s="14"/>
      <c r="S17" s="16"/>
      <c r="T17" s="15"/>
      <c r="U17" s="14"/>
      <c r="V17" s="14"/>
      <c r="W17" s="14"/>
    </row>
    <row r="18" spans="1:23">
      <c r="A18" s="14"/>
      <c r="B18" s="14"/>
      <c r="C18" s="14"/>
      <c r="D18" s="14"/>
      <c r="E18" s="14"/>
      <c r="F18" s="14"/>
      <c r="G18" s="14"/>
      <c r="H18" s="14"/>
      <c r="I18" s="14"/>
      <c r="J18" s="15"/>
      <c r="K18" s="14"/>
      <c r="L18" s="14"/>
      <c r="M18" s="16"/>
      <c r="N18" s="14"/>
      <c r="O18" s="14"/>
      <c r="P18" s="14"/>
      <c r="Q18" s="14"/>
      <c r="R18" s="14"/>
      <c r="S18" s="16"/>
      <c r="T18" s="15"/>
      <c r="U18" s="14"/>
      <c r="V18" s="14"/>
      <c r="W18" s="14"/>
    </row>
    <row r="19" spans="1:23">
      <c r="A19" s="14"/>
      <c r="B19" s="14"/>
      <c r="C19" s="14"/>
      <c r="D19" s="14"/>
      <c r="E19" s="14"/>
      <c r="F19" s="14"/>
      <c r="G19" s="14"/>
      <c r="H19" s="14"/>
      <c r="I19" s="14"/>
      <c r="J19" s="15"/>
      <c r="K19" s="14"/>
      <c r="L19" s="14"/>
      <c r="M19" s="16"/>
      <c r="N19" s="14"/>
      <c r="O19" s="14"/>
      <c r="P19" s="14"/>
      <c r="Q19" s="14"/>
      <c r="R19" s="14"/>
      <c r="S19" s="16"/>
      <c r="T19" s="15"/>
      <c r="U19" s="14"/>
      <c r="V19" s="14"/>
      <c r="W19" s="14"/>
    </row>
    <row r="20" spans="1:23">
      <c r="A20" s="14"/>
      <c r="B20" s="14"/>
      <c r="C20" s="14"/>
      <c r="D20" s="14"/>
      <c r="E20" s="14"/>
      <c r="F20" s="14"/>
      <c r="G20" s="14"/>
      <c r="H20" s="14"/>
      <c r="I20" s="14"/>
      <c r="J20" s="15"/>
      <c r="K20" s="14"/>
      <c r="L20" s="14"/>
      <c r="M20" s="16"/>
      <c r="N20" s="14"/>
      <c r="O20" s="14"/>
      <c r="P20" s="14"/>
      <c r="Q20" s="14"/>
      <c r="R20" s="14"/>
      <c r="S20" s="16"/>
      <c r="T20" s="15"/>
      <c r="U20" s="14"/>
      <c r="V20" s="14"/>
      <c r="W20" s="14"/>
    </row>
    <row r="21" spans="1:23">
      <c r="A21" s="14"/>
      <c r="B21" s="14"/>
      <c r="C21" s="14"/>
      <c r="D21" s="14"/>
      <c r="E21" s="14"/>
      <c r="F21" s="14"/>
      <c r="G21" s="14"/>
      <c r="H21" s="14"/>
      <c r="I21" s="14"/>
      <c r="J21" s="15"/>
      <c r="K21" s="14"/>
      <c r="L21" s="14"/>
      <c r="M21" s="16"/>
      <c r="N21" s="14"/>
      <c r="O21" s="14"/>
      <c r="P21" s="14"/>
      <c r="Q21" s="14"/>
      <c r="R21" s="14"/>
      <c r="S21" s="16"/>
      <c r="T21" s="15"/>
      <c r="U21" s="14"/>
      <c r="V21" s="14"/>
      <c r="W21" s="14"/>
    </row>
  </sheetData>
  <mergeCells count="6">
    <mergeCell ref="A1:W1"/>
    <mergeCell ref="C2:J2"/>
    <mergeCell ref="K2:V2"/>
    <mergeCell ref="A2:A3"/>
    <mergeCell ref="B2:B3"/>
    <mergeCell ref="W2:W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张晓柱</cp:lastModifiedBy>
  <dcterms:created xsi:type="dcterms:W3CDTF">2023-05-12T11:15:00Z</dcterms:created>
  <dcterms:modified xsi:type="dcterms:W3CDTF">2026-06-06T02:55:43Z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3B7AD269E24E4548B6833469991F9E59_13</vt:lpwstr>
  </property>
  <property fmtid="{D5CDD505-2E9C-101B-9397-08002B2CF9AE}" pid="4" name="CalculationRule">
    <vt:i4>0</vt:i4>
  </property>
</Properties>
</file>